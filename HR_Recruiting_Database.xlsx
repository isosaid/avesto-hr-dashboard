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urses" sheetId="2" state="visible" r:id="rId4"/>
    <sheet name="Companies" sheetId="3" state="visible" r:id="rId5"/>
    <sheet name="Свод" sheetId="4" state="visible" r:id="rId6"/>
  </sheets>
  <definedNames>
    <definedName function="false" hidden="true" localSheetId="2" name="_xlnm._FilterDatabase" vbProcedure="false">Companies!$A$1:$B$13</definedName>
    <definedName function="false" hidden="true" localSheetId="1" name="_xlnm._FilterDatabase" vbProcedure="false">Courses!$A$1:$J$82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<sst xmlns="http://schemas.openxmlformats.org/spreadsheetml/2006/main" count="609" uniqueCount="203">
  <si>
    <t xml:space="preserve">База данных · Квартальный отчёт: Обучение персонала</t>
  </si>
  <si>
    <t xml:space="preserve">Авесто Групп · HR &amp; Рекрутинг · 2026</t>
  </si>
  <si>
    <t xml:space="preserve">Лист</t>
  </si>
  <si>
    <t xml:space="preserve">Назначение</t>
  </si>
  <si>
    <t xml:space="preserve">Courses</t>
  </si>
  <si>
    <t xml:space="preserve">Все курсы отчёта (Q1+Q2 2026)</t>
  </si>
  <si>
    <t xml:space="preserve">Companies</t>
  </si>
  <si>
    <t xml:space="preserve">Справочник компаний (12)</t>
  </si>
  <si>
    <t xml:space="preserve">Свод</t>
  </si>
  <si>
    <t xml:space="preserve">Сводка по кварталам</t>
  </si>
  <si>
    <t xml:space="preserve">Итого: 81 курс · 12 компаний · Q2 65 531 c · Полугодие 67 831 c</t>
  </si>
  <si>
    <t xml:space="preserve">ID</t>
  </si>
  <si>
    <t xml:space="preserve">Кв.</t>
  </si>
  <si>
    <t xml:space="preserve">Компания</t>
  </si>
  <si>
    <t xml:space="preserve">Название курса</t>
  </si>
  <si>
    <t xml:space="preserve">Формат</t>
  </si>
  <si>
    <t xml:space="preserve">Участники</t>
  </si>
  <si>
    <t xml:space="preserve">Длительность</t>
  </si>
  <si>
    <t xml:space="preserve">Стоимость</t>
  </si>
  <si>
    <t xml:space="preserve">Стоимость, число</t>
  </si>
  <si>
    <t xml:space="preserve">Категория</t>
  </si>
  <si>
    <t xml:space="preserve">Q1</t>
  </si>
  <si>
    <t xml:space="preserve">Азот</t>
  </si>
  <si>
    <t xml:space="preserve">Основы общей химии</t>
  </si>
  <si>
    <t xml:space="preserve">Офлайн</t>
  </si>
  <si>
    <t xml:space="preserve">8 дней (8 часов)</t>
  </si>
  <si>
    <t xml:space="preserve">Бесплатно</t>
  </si>
  <si>
    <t xml:space="preserve">Специалист</t>
  </si>
  <si>
    <t xml:space="preserve">Классификация неорганических веществ</t>
  </si>
  <si>
    <t xml:space="preserve">4 дня (8 часов)</t>
  </si>
  <si>
    <t xml:space="preserve">Техника безопасности промышленной санитарии</t>
  </si>
  <si>
    <t xml:space="preserve">Классификация реакций химических</t>
  </si>
  <si>
    <t xml:space="preserve">3 дня (6 часов)</t>
  </si>
  <si>
    <t xml:space="preserve">Химические связи</t>
  </si>
  <si>
    <t xml:space="preserve">2 дня (4 часа)</t>
  </si>
  <si>
    <t xml:space="preserve">Гидролиз</t>
  </si>
  <si>
    <t xml:space="preserve">Окислительно-восстановительная реакция</t>
  </si>
  <si>
    <t xml:space="preserve">Организационные мероприятия безопасности работ</t>
  </si>
  <si>
    <t xml:space="preserve">1 день (2 часа)</t>
  </si>
  <si>
    <t xml:space="preserve">ИТР</t>
  </si>
  <si>
    <t xml:space="preserve">Технические мероприятия безопасности</t>
  </si>
  <si>
    <t xml:space="preserve">Техническая документация</t>
  </si>
  <si>
    <t xml:space="preserve">Производство работ по предотвращению аварий</t>
  </si>
  <si>
    <t xml:space="preserve">Пайка обмоток статоров</t>
  </si>
  <si>
    <t xml:space="preserve">Группы электробезопасности</t>
  </si>
  <si>
    <t xml:space="preserve">РУ-0.4 КВ и 6 КВ</t>
  </si>
  <si>
    <t xml:space="preserve">Введение в технологическое оборудование</t>
  </si>
  <si>
    <t xml:space="preserve">Рабочий</t>
  </si>
  <si>
    <t xml:space="preserve">Организация работ технологического оборудования</t>
  </si>
  <si>
    <t xml:space="preserve">Классификация ремонтов компрессорного оборудования</t>
  </si>
  <si>
    <t xml:space="preserve">Техника безопасности, промышленная санитария</t>
  </si>
  <si>
    <t xml:space="preserve">Слесарное дело</t>
  </si>
  <si>
    <t xml:space="preserve">Основы общей технологии металлов</t>
  </si>
  <si>
    <t xml:space="preserve">Чтение чертежей</t>
  </si>
  <si>
    <t xml:space="preserve">Понятие о допусках и посадках</t>
  </si>
  <si>
    <t xml:space="preserve">Повторение и учет знаний</t>
  </si>
  <si>
    <t xml:space="preserve">Анор</t>
  </si>
  <si>
    <t xml:space="preserve">Вводное обучение и адаптация</t>
  </si>
  <si>
    <t xml:space="preserve">Онлайн</t>
  </si>
  <si>
    <t xml:space="preserve">Система SBMS/CRM, тарифы и услуги</t>
  </si>
  <si>
    <t xml:space="preserve">3 дня (15 часов)</t>
  </si>
  <si>
    <t xml:space="preserve">Инструктаж по противопожарной безопасности</t>
  </si>
  <si>
    <t xml:space="preserve">Инструктаж по охране труда и ТБ</t>
  </si>
  <si>
    <t xml:space="preserve">ДС Банк / DC Bank</t>
  </si>
  <si>
    <t xml:space="preserve">Конфиденциальность данных, продукты банка</t>
  </si>
  <si>
    <t xml:space="preserve">Стажёр</t>
  </si>
  <si>
    <t xml:space="preserve">Стандарты общения, работа с возражениями</t>
  </si>
  <si>
    <t xml:space="preserve">1 день (3 часа)</t>
  </si>
  <si>
    <t xml:space="preserve">Консультант</t>
  </si>
  <si>
    <t xml:space="preserve">1 день (1 час)</t>
  </si>
  <si>
    <t xml:space="preserve">Оценка мотивированности персонала</t>
  </si>
  <si>
    <t xml:space="preserve">2 дня (2 часа)</t>
  </si>
  <si>
    <t xml:space="preserve">Зет Мобайл</t>
  </si>
  <si>
    <t xml:space="preserve">Welcome</t>
  </si>
  <si>
    <t xml:space="preserve">1 день (4 часа)</t>
  </si>
  <si>
    <t xml:space="preserve">Оператор</t>
  </si>
  <si>
    <t xml:space="preserve">Оператор колл-центра</t>
  </si>
  <si>
    <t xml:space="preserve">10 дней (80 часов)</t>
  </si>
  <si>
    <t xml:space="preserve">Новичок</t>
  </si>
  <si>
    <t xml:space="preserve">ITIL Foundation</t>
  </si>
  <si>
    <t xml:space="preserve">Тех. дирекция</t>
  </si>
  <si>
    <t xml:space="preserve">Excel</t>
  </si>
  <si>
    <t xml:space="preserve">8 дней (23 часа)</t>
  </si>
  <si>
    <t xml:space="preserve">Продавец-консультант</t>
  </si>
  <si>
    <t xml:space="preserve">2 дня (8 часов)</t>
  </si>
  <si>
    <t xml:space="preserve">Сотрудник</t>
  </si>
  <si>
    <t xml:space="preserve">Финансовая дисциплина</t>
  </si>
  <si>
    <t xml:space="preserve">ТАКОМ</t>
  </si>
  <si>
    <t xml:space="preserve">Руководитель</t>
  </si>
  <si>
    <t xml:space="preserve">НЭОК</t>
  </si>
  <si>
    <t xml:space="preserve">Help Desk</t>
  </si>
  <si>
    <t xml:space="preserve">Колл-центр</t>
  </si>
  <si>
    <t xml:space="preserve">Олуча</t>
  </si>
  <si>
    <t xml:space="preserve">Эффективная работа с приложением</t>
  </si>
  <si>
    <t xml:space="preserve">6 месяцев</t>
  </si>
  <si>
    <t xml:space="preserve">Специалист ПО</t>
  </si>
  <si>
    <t xml:space="preserve">7 месяцев</t>
  </si>
  <si>
    <t xml:space="preserve">Сиёма Молл</t>
  </si>
  <si>
    <t xml:space="preserve">Как управлять большой командой</t>
  </si>
  <si>
    <t xml:space="preserve">300 c</t>
  </si>
  <si>
    <t xml:space="preserve">Управление</t>
  </si>
  <si>
    <t xml:space="preserve">Управление персоналом</t>
  </si>
  <si>
    <t xml:space="preserve">24 часа</t>
  </si>
  <si>
    <t xml:space="preserve">1000 c</t>
  </si>
  <si>
    <t xml:space="preserve">HR</t>
  </si>
  <si>
    <t xml:space="preserve">Пайванд</t>
  </si>
  <si>
    <t xml:space="preserve">Системный подход к стратегии: управление организационными изменениями</t>
  </si>
  <si>
    <t xml:space="preserve">1 день</t>
  </si>
  <si>
    <t xml:space="preserve">400 c</t>
  </si>
  <si>
    <t xml:space="preserve">Сардори шўъба</t>
  </si>
  <si>
    <t xml:space="preserve">Увеличение роли комплаенса в международной торговле</t>
  </si>
  <si>
    <t xml:space="preserve">2 дня (9:30-16:45)</t>
  </si>
  <si>
    <t xml:space="preserve">600 c</t>
  </si>
  <si>
    <t xml:space="preserve">Комплаенс</t>
  </si>
  <si>
    <t xml:space="preserve">2 дня (9:30-17:15)</t>
  </si>
  <si>
    <t xml:space="preserve">Безопасное цифровое будущее: от государства до бизнеса</t>
  </si>
  <si>
    <t xml:space="preserve">1 день (9:30-16:45)</t>
  </si>
  <si>
    <t xml:space="preserve">Муовини директор</t>
  </si>
  <si>
    <t xml:space="preserve">Корхои фахмондади</t>
  </si>
  <si>
    <t xml:space="preserve">1 день (13:00-15:00)</t>
  </si>
  <si>
    <t xml:space="preserve">Бахисобгири</t>
  </si>
  <si>
    <t xml:space="preserve">Хамкори ба хотири рушди устувор</t>
  </si>
  <si>
    <t xml:space="preserve">1 день (13:30)</t>
  </si>
  <si>
    <t xml:space="preserve">Мутахассиси маркетинг</t>
  </si>
  <si>
    <t xml:space="preserve">Q2</t>
  </si>
  <si>
    <t xml:space="preserve">Курс переподготовки и практического обучения в области метрологии для получения допуска к работе в качестве официального инспектора средств измерений</t>
  </si>
  <si>
    <t xml:space="preserve">10 дней (4 часа)</t>
  </si>
  <si>
    <t xml:space="preserve">6 400 c</t>
  </si>
  <si>
    <t xml:space="preserve">ИТР, Специалист, Рабочий</t>
  </si>
  <si>
    <t xml:space="preserve">Акиа Авесто</t>
  </si>
  <si>
    <t xml:space="preserve">Руководитель производственного подразделения: управление результатом, людьми и дисциплиной</t>
  </si>
  <si>
    <t xml:space="preserve">2 дня (15 часов)</t>
  </si>
  <si>
    <t xml:space="preserve">1 031 c</t>
  </si>
  <si>
    <t xml:space="preserve">Руководители отделов и мастер участков</t>
  </si>
  <si>
    <t xml:space="preserve">Вводное обучение и адаптация сотрудника на рабочем месте</t>
  </si>
  <si>
    <t xml:space="preserve">Система SBMS/CRM. Тарифы и услуги Компании</t>
  </si>
  <si>
    <t xml:space="preserve">Инструктаж по охране труда и технике безопасности</t>
  </si>
  <si>
    <t xml:space="preserve">Jura</t>
  </si>
  <si>
    <t xml:space="preserve">Управление временем и приоритетами</t>
  </si>
  <si>
    <t xml:space="preserve">1 день (1,5 часа)</t>
  </si>
  <si>
    <t xml:space="preserve">Все сотрудники</t>
  </si>
  <si>
    <t xml:space="preserve">Постановка задач по SMART</t>
  </si>
  <si>
    <t xml:space="preserve">Ценный конечный продукт</t>
  </si>
  <si>
    <t xml:space="preserve">Базовое обучение операторов</t>
  </si>
  <si>
    <t xml:space="preserve">5 дней (15 часов)</t>
  </si>
  <si>
    <t xml:space="preserve">Операторы КЦ</t>
  </si>
  <si>
    <t xml:space="preserve">Оценка знаний сотрудников карточного отдела по банковским продуктам и стандартам обслуживания (денежные переводы, депозиты, кредиты, сервисы, стандартные процедуры)</t>
  </si>
  <si>
    <t xml:space="preserve">22 рабочих дня (154 часа)</t>
  </si>
  <si>
    <t xml:space="preserve">Сотрудники карточного отдела</t>
  </si>
  <si>
    <t xml:space="preserve">Мармари</t>
  </si>
  <si>
    <t xml:space="preserve">Python</t>
  </si>
  <si>
    <t xml:space="preserve">3 месяца (18 ч/мес)</t>
  </si>
  <si>
    <t xml:space="preserve">2 400 c</t>
  </si>
  <si>
    <t xml:space="preserve">Специалисты</t>
  </si>
  <si>
    <t xml:space="preserve">Стратегическое управление (обучение продолжается)</t>
  </si>
  <si>
    <t xml:space="preserve">В процессе</t>
  </si>
  <si>
    <t xml:space="preserve">—</t>
  </si>
  <si>
    <t xml:space="preserve">1С-Бухгалтерия (видео уроки, обучение продолжается)</t>
  </si>
  <si>
    <t xml:space="preserve">Подготовка к экзамену 1С:Специалист</t>
  </si>
  <si>
    <t xml:space="preserve">Нетс</t>
  </si>
  <si>
    <t xml:space="preserve">Английский язык</t>
  </si>
  <si>
    <t xml:space="preserve">2 раза в неделю (2,5 часа/занятие)</t>
  </si>
  <si>
    <t xml:space="preserve">Менеджера</t>
  </si>
  <si>
    <t xml:space="preserve">Ораторское искусство</t>
  </si>
  <si>
    <t xml:space="preserve">2 раза в неделю (1,5 часа/занятие)</t>
  </si>
  <si>
    <t xml:space="preserve">1 600 c</t>
  </si>
  <si>
    <t xml:space="preserve">MS Excel</t>
  </si>
  <si>
    <t xml:space="preserve">2 500 c</t>
  </si>
  <si>
    <t xml:space="preserve">Основы безопасности при выполнении работ на высоте в горных и промышленных районах</t>
  </si>
  <si>
    <t xml:space="preserve">144 часа (Теория + Практика)</t>
  </si>
  <si>
    <t xml:space="preserve">50 000 c</t>
  </si>
  <si>
    <t xml:space="preserve">Гулистони Душанбе</t>
  </si>
  <si>
    <t xml:space="preserve">Электрик</t>
  </si>
  <si>
    <t xml:space="preserve">3 месяца (40 часов)</t>
  </si>
  <si>
    <t xml:space="preserve">Ҳамкорӣ ба хотири рушди устувор: Сабз. Ракамӣ. Ҳушманд (Форум)</t>
  </si>
  <si>
    <t xml:space="preserve">16.04.2026 (13:30)</t>
  </si>
  <si>
    <t xml:space="preserve">Таҳкими низоми муқовимат ба ҷиноятҳои молиявӣ дар тиҷорати ҷаҳонӣ (Обучение)</t>
  </si>
  <si>
    <t xml:space="preserve">21.04.2026 (9:00-16:00)</t>
  </si>
  <si>
    <t xml:space="preserve">Қонунгузории меҳнат ва коргузории кадрӣ (Обучение)</t>
  </si>
  <si>
    <t xml:space="preserve">07.05.2026</t>
  </si>
  <si>
    <t xml:space="preserve">1 100 c</t>
  </si>
  <si>
    <t xml:space="preserve">Сардори шуъба, мутахассиси шуъбаи кормандон</t>
  </si>
  <si>
    <t xml:space="preserve">Баланд бардоштани сатҳи огоҳӣ оид ба механизми ҳимояи пасандозҳо (Мизи мудаввар)</t>
  </si>
  <si>
    <t xml:space="preserve">19.05.2026 (14:00)</t>
  </si>
  <si>
    <t xml:space="preserve">И.в сардори шуъбаи робита бо ҷомеъа</t>
  </si>
  <si>
    <t xml:space="preserve">Муқовимат ба ҷиноятҳои қаллобӣ ва тиҷрибаи комплаенс дар самти танзими таҳримҳо (Семинар)</t>
  </si>
  <si>
    <t xml:space="preserve">18.05.2026 (9:30-15:00)</t>
  </si>
  <si>
    <t xml:space="preserve">Муаррифии низоми иттилоотии автоматикунонидашудаи Хадамоти иҷрои назди Ҳукумати Ҷумҳурии Тоҷикистон (Мизи мудаввар)</t>
  </si>
  <si>
    <t xml:space="preserve">11.06.2026 (8:30-12:00)</t>
  </si>
  <si>
    <t xml:space="preserve">Муовини директор, ҳуқуқшинос, мутахассис</t>
  </si>
  <si>
    <t xml:space="preserve">Методы обеспечения безопасности и эффективное взаимодействие с посетителями в торговом центре</t>
  </si>
  <si>
    <t xml:space="preserve">Сотрудники отдела охраны и мониторинга</t>
  </si>
  <si>
    <t xml:space="preserve">Учение по пожарной безопасности при эвакуации из здания ТСРЦ «Сиёма Молл»</t>
  </si>
  <si>
    <t xml:space="preserve">Сотрудники молла и арендаторы</t>
  </si>
  <si>
    <t xml:space="preserve">Креатив как актив</t>
  </si>
  <si>
    <t xml:space="preserve">500 c</t>
  </si>
  <si>
    <t xml:space="preserve">Менеджер по маркетингу</t>
  </si>
  <si>
    <t xml:space="preserve">Показатель</t>
  </si>
  <si>
    <t xml:space="preserve">I квартал</t>
  </si>
  <si>
    <t xml:space="preserve">II квартал</t>
  </si>
  <si>
    <t xml:space="preserve">Полугодие</t>
  </si>
  <si>
    <t xml:space="preserve">Курсов</t>
  </si>
  <si>
    <t xml:space="preserve">Участников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</si>
</sst>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532D"/>
      <name val="Arial"/>
      <family val="0"/>
      <charset val="1"/>
    </font>
    <font>
      <sz val="11"/>
      <color rgb="FF66B6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4532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532D"/>
        <bgColor rgb="FF003300"/>
      </patternFill>
    </fill>
    <fill>
      <patternFill patternType="solid">
        <fgColor rgb="FF66B67A"/>
        <bgColor rgb="FF969696"/>
      </patternFill>
    </fill>
    <fill>
      <patternFill patternType="solid">
        <fgColor rgb="FFF5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E6E2"/>
      </left>
      <right style="thin">
        <color rgb="FFE1E6E2"/>
      </right>
      <top style="thin">
        <color rgb="FFE1E6E2"/>
      </top>
      <bottom style="thin">
        <color rgb="FFE1E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6B67A"/>
          <bgColor rgb="FF000000"/>
        </patternFill>
      </fill>
    </dxf>
    <dxf>
      <fill>
        <patternFill patternType="solid">
          <fgColor rgb="FFF5F7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6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6B67A"/>
      <rgbColor rgb="FF003300"/>
      <rgbColor rgb="FF333300"/>
      <rgbColor rgb="FF993300"/>
      <rgbColor rgb="FF993366"/>
      <rgbColor rgb="FF333399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9" customFormat="false" ht="15" hidden="false" customHeight="false" outlineLevel="0" collapsed="false">
      <c r="A9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</row>
    <row r="2" customFormat="false" ht="15" hidden="false" customHeight="false" outlineLevel="0" collapsed="false">
      <c r="A2" s="7" t="n">
        <v>1</v>
      </c>
      <c r="B2" s="7" t="s">
        <v>21</v>
      </c>
      <c r="C2" s="7" t="s">
        <v>22</v>
      </c>
      <c r="D2" s="8" t="s">
        <v>23</v>
      </c>
      <c r="E2" s="7" t="s">
        <v>24</v>
      </c>
      <c r="F2" s="7" t="n">
        <v>20</v>
      </c>
      <c r="G2" s="7" t="s">
        <v>25</v>
      </c>
      <c r="H2" s="7" t="s">
        <v>26</v>
      </c>
      <c r="I2" s="7" t="n">
        <v>0</v>
      </c>
      <c r="J2" s="7" t="s">
        <v>27</v>
      </c>
    </row>
    <row r="3" customFormat="false" ht="15" hidden="false" customHeight="false" outlineLevel="0" collapsed="false">
      <c r="A3" s="9" t="n">
        <v>2</v>
      </c>
      <c r="B3" s="9" t="s">
        <v>21</v>
      </c>
      <c r="C3" s="9" t="s">
        <v>22</v>
      </c>
      <c r="D3" s="10" t="s">
        <v>28</v>
      </c>
      <c r="E3" s="9" t="s">
        <v>24</v>
      </c>
      <c r="F3" s="9" t="n">
        <v>20</v>
      </c>
      <c r="G3" s="9" t="s">
        <v>29</v>
      </c>
      <c r="H3" s="9" t="s">
        <v>26</v>
      </c>
      <c r="I3" s="9" t="n">
        <v>0</v>
      </c>
      <c r="J3" s="9" t="s">
        <v>27</v>
      </c>
    </row>
    <row r="4" customFormat="false" ht="15" hidden="false" customHeight="false" outlineLevel="0" collapsed="false">
      <c r="A4" s="7" t="n">
        <v>3</v>
      </c>
      <c r="B4" s="7" t="s">
        <v>21</v>
      </c>
      <c r="C4" s="7" t="s">
        <v>22</v>
      </c>
      <c r="D4" s="8" t="s">
        <v>30</v>
      </c>
      <c r="E4" s="7" t="s">
        <v>24</v>
      </c>
      <c r="F4" s="7" t="n">
        <v>20</v>
      </c>
      <c r="G4" s="7" t="s">
        <v>25</v>
      </c>
      <c r="H4" s="7" t="s">
        <v>26</v>
      </c>
      <c r="I4" s="7" t="n">
        <v>0</v>
      </c>
      <c r="J4" s="7" t="s">
        <v>27</v>
      </c>
    </row>
    <row r="5" customFormat="false" ht="15" hidden="false" customHeight="false" outlineLevel="0" collapsed="false">
      <c r="A5" s="9" t="n">
        <v>4</v>
      </c>
      <c r="B5" s="9" t="s">
        <v>21</v>
      </c>
      <c r="C5" s="9" t="s">
        <v>22</v>
      </c>
      <c r="D5" s="10" t="s">
        <v>31</v>
      </c>
      <c r="E5" s="9" t="s">
        <v>24</v>
      </c>
      <c r="F5" s="9" t="n">
        <v>20</v>
      </c>
      <c r="G5" s="9" t="s">
        <v>32</v>
      </c>
      <c r="H5" s="9" t="s">
        <v>26</v>
      </c>
      <c r="I5" s="9" t="n">
        <v>0</v>
      </c>
      <c r="J5" s="9" t="s">
        <v>27</v>
      </c>
    </row>
    <row r="6" customFormat="false" ht="15" hidden="false" customHeight="false" outlineLevel="0" collapsed="false">
      <c r="A6" s="7" t="n">
        <v>5</v>
      </c>
      <c r="B6" s="7" t="s">
        <v>21</v>
      </c>
      <c r="C6" s="7" t="s">
        <v>22</v>
      </c>
      <c r="D6" s="8" t="s">
        <v>33</v>
      </c>
      <c r="E6" s="7" t="s">
        <v>24</v>
      </c>
      <c r="F6" s="7" t="n">
        <v>20</v>
      </c>
      <c r="G6" s="7" t="s">
        <v>34</v>
      </c>
      <c r="H6" s="7" t="s">
        <v>26</v>
      </c>
      <c r="I6" s="7" t="n">
        <v>0</v>
      </c>
      <c r="J6" s="7" t="s">
        <v>27</v>
      </c>
    </row>
    <row r="7" customFormat="false" ht="15" hidden="false" customHeight="false" outlineLevel="0" collapsed="false">
      <c r="A7" s="9" t="n">
        <v>6</v>
      </c>
      <c r="B7" s="9" t="s">
        <v>21</v>
      </c>
      <c r="C7" s="9" t="s">
        <v>22</v>
      </c>
      <c r="D7" s="10" t="s">
        <v>35</v>
      </c>
      <c r="E7" s="9" t="s">
        <v>24</v>
      </c>
      <c r="F7" s="9" t="n">
        <v>20</v>
      </c>
      <c r="G7" s="9" t="s">
        <v>32</v>
      </c>
      <c r="H7" s="9" t="s">
        <v>26</v>
      </c>
      <c r="I7" s="9" t="n">
        <v>0</v>
      </c>
      <c r="J7" s="9" t="s">
        <v>27</v>
      </c>
    </row>
    <row r="8" customFormat="false" ht="15" hidden="false" customHeight="false" outlineLevel="0" collapsed="false">
      <c r="A8" s="7" t="n">
        <v>7</v>
      </c>
      <c r="B8" s="7" t="s">
        <v>21</v>
      </c>
      <c r="C8" s="7" t="s">
        <v>22</v>
      </c>
      <c r="D8" s="8" t="s">
        <v>36</v>
      </c>
      <c r="E8" s="7" t="s">
        <v>24</v>
      </c>
      <c r="F8" s="7" t="n">
        <v>20</v>
      </c>
      <c r="G8" s="7" t="s">
        <v>29</v>
      </c>
      <c r="H8" s="7" t="s">
        <v>26</v>
      </c>
      <c r="I8" s="7" t="n">
        <v>0</v>
      </c>
      <c r="J8" s="7" t="s">
        <v>27</v>
      </c>
    </row>
    <row r="9" customFormat="false" ht="15" hidden="false" customHeight="false" outlineLevel="0" collapsed="false">
      <c r="A9" s="9" t="n">
        <v>8</v>
      </c>
      <c r="B9" s="9" t="s">
        <v>21</v>
      </c>
      <c r="C9" s="9" t="s">
        <v>22</v>
      </c>
      <c r="D9" s="10" t="s">
        <v>37</v>
      </c>
      <c r="E9" s="9" t="s">
        <v>24</v>
      </c>
      <c r="F9" s="9" t="n">
        <v>32</v>
      </c>
      <c r="G9" s="9" t="s">
        <v>38</v>
      </c>
      <c r="H9" s="9" t="s">
        <v>26</v>
      </c>
      <c r="I9" s="9" t="n">
        <v>0</v>
      </c>
      <c r="J9" s="9" t="s">
        <v>39</v>
      </c>
    </row>
    <row r="10" customFormat="false" ht="15" hidden="false" customHeight="false" outlineLevel="0" collapsed="false">
      <c r="A10" s="7" t="n">
        <v>9</v>
      </c>
      <c r="B10" s="7" t="s">
        <v>21</v>
      </c>
      <c r="C10" s="7" t="s">
        <v>22</v>
      </c>
      <c r="D10" s="8" t="s">
        <v>40</v>
      </c>
      <c r="E10" s="7" t="s">
        <v>24</v>
      </c>
      <c r="F10" s="7" t="n">
        <v>32</v>
      </c>
      <c r="G10" s="7" t="s">
        <v>38</v>
      </c>
      <c r="H10" s="7" t="s">
        <v>26</v>
      </c>
      <c r="I10" s="7" t="n">
        <v>0</v>
      </c>
      <c r="J10" s="7" t="s">
        <v>39</v>
      </c>
    </row>
    <row r="11" customFormat="false" ht="15" hidden="false" customHeight="false" outlineLevel="0" collapsed="false">
      <c r="A11" s="9" t="n">
        <v>10</v>
      </c>
      <c r="B11" s="9" t="s">
        <v>21</v>
      </c>
      <c r="C11" s="9" t="s">
        <v>22</v>
      </c>
      <c r="D11" s="10" t="s">
        <v>41</v>
      </c>
      <c r="E11" s="9" t="s">
        <v>24</v>
      </c>
      <c r="F11" s="9" t="n">
        <v>32</v>
      </c>
      <c r="G11" s="9" t="s">
        <v>38</v>
      </c>
      <c r="H11" s="9" t="s">
        <v>26</v>
      </c>
      <c r="I11" s="9" t="n">
        <v>0</v>
      </c>
      <c r="J11" s="9" t="s">
        <v>39</v>
      </c>
    </row>
    <row r="12" customFormat="false" ht="15" hidden="false" customHeight="false" outlineLevel="0" collapsed="false">
      <c r="A12" s="7" t="n">
        <v>11</v>
      </c>
      <c r="B12" s="7" t="s">
        <v>21</v>
      </c>
      <c r="C12" s="7" t="s">
        <v>22</v>
      </c>
      <c r="D12" s="8" t="s">
        <v>42</v>
      </c>
      <c r="E12" s="7" t="s">
        <v>24</v>
      </c>
      <c r="F12" s="7" t="n">
        <v>32</v>
      </c>
      <c r="G12" s="7" t="s">
        <v>38</v>
      </c>
      <c r="H12" s="7" t="s">
        <v>26</v>
      </c>
      <c r="I12" s="7" t="n">
        <v>0</v>
      </c>
      <c r="J12" s="7" t="s">
        <v>39</v>
      </c>
    </row>
    <row r="13" customFormat="false" ht="15" hidden="false" customHeight="false" outlineLevel="0" collapsed="false">
      <c r="A13" s="9" t="n">
        <v>12</v>
      </c>
      <c r="B13" s="9" t="s">
        <v>21</v>
      </c>
      <c r="C13" s="9" t="s">
        <v>22</v>
      </c>
      <c r="D13" s="10" t="s">
        <v>43</v>
      </c>
      <c r="E13" s="9" t="s">
        <v>24</v>
      </c>
      <c r="F13" s="9" t="n">
        <v>32</v>
      </c>
      <c r="G13" s="9" t="s">
        <v>38</v>
      </c>
      <c r="H13" s="9" t="s">
        <v>26</v>
      </c>
      <c r="I13" s="9" t="n">
        <v>0</v>
      </c>
      <c r="J13" s="9" t="s">
        <v>39</v>
      </c>
    </row>
    <row r="14" customFormat="false" ht="15" hidden="false" customHeight="false" outlineLevel="0" collapsed="false">
      <c r="A14" s="7" t="n">
        <v>13</v>
      </c>
      <c r="B14" s="7" t="s">
        <v>21</v>
      </c>
      <c r="C14" s="7" t="s">
        <v>22</v>
      </c>
      <c r="D14" s="8" t="s">
        <v>44</v>
      </c>
      <c r="E14" s="7" t="s">
        <v>24</v>
      </c>
      <c r="F14" s="7" t="n">
        <v>32</v>
      </c>
      <c r="G14" s="7" t="s">
        <v>38</v>
      </c>
      <c r="H14" s="7" t="s">
        <v>26</v>
      </c>
      <c r="I14" s="7" t="n">
        <v>0</v>
      </c>
      <c r="J14" s="7" t="s">
        <v>39</v>
      </c>
    </row>
    <row r="15" customFormat="false" ht="15" hidden="false" customHeight="false" outlineLevel="0" collapsed="false">
      <c r="A15" s="9" t="n">
        <v>14</v>
      </c>
      <c r="B15" s="9" t="s">
        <v>21</v>
      </c>
      <c r="C15" s="9" t="s">
        <v>22</v>
      </c>
      <c r="D15" s="10" t="s">
        <v>45</v>
      </c>
      <c r="E15" s="9" t="s">
        <v>24</v>
      </c>
      <c r="F15" s="9" t="n">
        <v>32</v>
      </c>
      <c r="G15" s="9" t="s">
        <v>38</v>
      </c>
      <c r="H15" s="9" t="s">
        <v>26</v>
      </c>
      <c r="I15" s="9" t="n">
        <v>0</v>
      </c>
      <c r="J15" s="9" t="s">
        <v>39</v>
      </c>
    </row>
    <row r="16" customFormat="false" ht="15" hidden="false" customHeight="false" outlineLevel="0" collapsed="false">
      <c r="A16" s="7" t="n">
        <v>15</v>
      </c>
      <c r="B16" s="7" t="s">
        <v>21</v>
      </c>
      <c r="C16" s="7" t="s">
        <v>22</v>
      </c>
      <c r="D16" s="8" t="s">
        <v>46</v>
      </c>
      <c r="E16" s="7" t="s">
        <v>24</v>
      </c>
      <c r="F16" s="7" t="n">
        <v>10</v>
      </c>
      <c r="G16" s="7" t="s">
        <v>38</v>
      </c>
      <c r="H16" s="7" t="s">
        <v>26</v>
      </c>
      <c r="I16" s="7" t="n">
        <v>0</v>
      </c>
      <c r="J16" s="7" t="s">
        <v>47</v>
      </c>
    </row>
    <row r="17" customFormat="false" ht="15" hidden="false" customHeight="false" outlineLevel="0" collapsed="false">
      <c r="A17" s="9" t="n">
        <v>16</v>
      </c>
      <c r="B17" s="9" t="s">
        <v>21</v>
      </c>
      <c r="C17" s="9" t="s">
        <v>22</v>
      </c>
      <c r="D17" s="10" t="s">
        <v>48</v>
      </c>
      <c r="E17" s="9" t="s">
        <v>24</v>
      </c>
      <c r="F17" s="9" t="n">
        <v>10</v>
      </c>
      <c r="G17" s="9" t="s">
        <v>38</v>
      </c>
      <c r="H17" s="9" t="s">
        <v>26</v>
      </c>
      <c r="I17" s="9" t="n">
        <v>0</v>
      </c>
      <c r="J17" s="9" t="s">
        <v>47</v>
      </c>
    </row>
    <row r="18" customFormat="false" ht="23.85" hidden="false" customHeight="false" outlineLevel="0" collapsed="false">
      <c r="A18" s="7" t="n">
        <v>17</v>
      </c>
      <c r="B18" s="7" t="s">
        <v>21</v>
      </c>
      <c r="C18" s="7" t="s">
        <v>22</v>
      </c>
      <c r="D18" s="8" t="s">
        <v>49</v>
      </c>
      <c r="E18" s="7" t="s">
        <v>24</v>
      </c>
      <c r="F18" s="7" t="n">
        <v>10</v>
      </c>
      <c r="G18" s="7" t="s">
        <v>38</v>
      </c>
      <c r="H18" s="7" t="s">
        <v>26</v>
      </c>
      <c r="I18" s="7" t="n">
        <v>0</v>
      </c>
      <c r="J18" s="7" t="s">
        <v>47</v>
      </c>
    </row>
    <row r="19" customFormat="false" ht="15" hidden="false" customHeight="false" outlineLevel="0" collapsed="false">
      <c r="A19" s="9" t="n">
        <v>18</v>
      </c>
      <c r="B19" s="9" t="s">
        <v>21</v>
      </c>
      <c r="C19" s="9" t="s">
        <v>22</v>
      </c>
      <c r="D19" s="10" t="s">
        <v>50</v>
      </c>
      <c r="E19" s="9" t="s">
        <v>24</v>
      </c>
      <c r="F19" s="9" t="n">
        <v>10</v>
      </c>
      <c r="G19" s="9" t="s">
        <v>38</v>
      </c>
      <c r="H19" s="9" t="s">
        <v>26</v>
      </c>
      <c r="I19" s="9" t="n">
        <v>0</v>
      </c>
      <c r="J19" s="9" t="s">
        <v>47</v>
      </c>
    </row>
    <row r="20" customFormat="false" ht="15" hidden="false" customHeight="false" outlineLevel="0" collapsed="false">
      <c r="A20" s="7" t="n">
        <v>19</v>
      </c>
      <c r="B20" s="7" t="s">
        <v>21</v>
      </c>
      <c r="C20" s="7" t="s">
        <v>22</v>
      </c>
      <c r="D20" s="8" t="s">
        <v>51</v>
      </c>
      <c r="E20" s="7" t="s">
        <v>24</v>
      </c>
      <c r="F20" s="7" t="n">
        <v>10</v>
      </c>
      <c r="G20" s="7" t="s">
        <v>38</v>
      </c>
      <c r="H20" s="7" t="s">
        <v>26</v>
      </c>
      <c r="I20" s="7" t="n">
        <v>0</v>
      </c>
      <c r="J20" s="7" t="s">
        <v>47</v>
      </c>
    </row>
    <row r="21" customFormat="false" ht="15" hidden="false" customHeight="false" outlineLevel="0" collapsed="false">
      <c r="A21" s="9" t="n">
        <v>20</v>
      </c>
      <c r="B21" s="9" t="s">
        <v>21</v>
      </c>
      <c r="C21" s="9" t="s">
        <v>22</v>
      </c>
      <c r="D21" s="10" t="s">
        <v>52</v>
      </c>
      <c r="E21" s="9" t="s">
        <v>24</v>
      </c>
      <c r="F21" s="9" t="n">
        <v>10</v>
      </c>
      <c r="G21" s="9" t="s">
        <v>38</v>
      </c>
      <c r="H21" s="9" t="s">
        <v>26</v>
      </c>
      <c r="I21" s="9" t="n">
        <v>0</v>
      </c>
      <c r="J21" s="9" t="s">
        <v>47</v>
      </c>
    </row>
    <row r="22" customFormat="false" ht="15" hidden="false" customHeight="false" outlineLevel="0" collapsed="false">
      <c r="A22" s="7" t="n">
        <v>21</v>
      </c>
      <c r="B22" s="7" t="s">
        <v>21</v>
      </c>
      <c r="C22" s="7" t="s">
        <v>22</v>
      </c>
      <c r="D22" s="8" t="s">
        <v>53</v>
      </c>
      <c r="E22" s="7" t="s">
        <v>24</v>
      </c>
      <c r="F22" s="7" t="n">
        <v>10</v>
      </c>
      <c r="G22" s="7" t="s">
        <v>38</v>
      </c>
      <c r="H22" s="7" t="s">
        <v>26</v>
      </c>
      <c r="I22" s="7" t="n">
        <v>0</v>
      </c>
      <c r="J22" s="7" t="s">
        <v>47</v>
      </c>
    </row>
    <row r="23" customFormat="false" ht="15" hidden="false" customHeight="false" outlineLevel="0" collapsed="false">
      <c r="A23" s="9" t="n">
        <v>22</v>
      </c>
      <c r="B23" s="9" t="s">
        <v>21</v>
      </c>
      <c r="C23" s="9" t="s">
        <v>22</v>
      </c>
      <c r="D23" s="10" t="s">
        <v>54</v>
      </c>
      <c r="E23" s="9" t="s">
        <v>24</v>
      </c>
      <c r="F23" s="9" t="n">
        <v>10</v>
      </c>
      <c r="G23" s="9" t="s">
        <v>38</v>
      </c>
      <c r="H23" s="9" t="s">
        <v>26</v>
      </c>
      <c r="I23" s="9" t="n">
        <v>0</v>
      </c>
      <c r="J23" s="9" t="s">
        <v>47</v>
      </c>
    </row>
    <row r="24" customFormat="false" ht="15" hidden="false" customHeight="false" outlineLevel="0" collapsed="false">
      <c r="A24" s="7" t="n">
        <v>23</v>
      </c>
      <c r="B24" s="7" t="s">
        <v>21</v>
      </c>
      <c r="C24" s="7" t="s">
        <v>22</v>
      </c>
      <c r="D24" s="8" t="s">
        <v>55</v>
      </c>
      <c r="E24" s="7" t="s">
        <v>24</v>
      </c>
      <c r="F24" s="7" t="n">
        <v>10</v>
      </c>
      <c r="G24" s="7" t="s">
        <v>38</v>
      </c>
      <c r="H24" s="7" t="s">
        <v>26</v>
      </c>
      <c r="I24" s="7" t="n">
        <v>0</v>
      </c>
      <c r="J24" s="7" t="s">
        <v>47</v>
      </c>
    </row>
    <row r="25" customFormat="false" ht="15" hidden="false" customHeight="false" outlineLevel="0" collapsed="false">
      <c r="A25" s="9" t="n">
        <v>24</v>
      </c>
      <c r="B25" s="9" t="s">
        <v>21</v>
      </c>
      <c r="C25" s="9" t="s">
        <v>56</v>
      </c>
      <c r="D25" s="10" t="s">
        <v>57</v>
      </c>
      <c r="E25" s="9" t="s">
        <v>58</v>
      </c>
      <c r="F25" s="9" t="n">
        <v>6</v>
      </c>
      <c r="G25" s="9" t="s">
        <v>38</v>
      </c>
      <c r="H25" s="9" t="s">
        <v>26</v>
      </c>
      <c r="I25" s="9" t="n">
        <v>0</v>
      </c>
      <c r="J25" s="9" t="s">
        <v>27</v>
      </c>
    </row>
    <row r="26" customFormat="false" ht="15" hidden="false" customHeight="false" outlineLevel="0" collapsed="false">
      <c r="A26" s="7" t="n">
        <v>25</v>
      </c>
      <c r="B26" s="7" t="s">
        <v>21</v>
      </c>
      <c r="C26" s="7" t="s">
        <v>56</v>
      </c>
      <c r="D26" s="8" t="s">
        <v>59</v>
      </c>
      <c r="E26" s="7" t="s">
        <v>24</v>
      </c>
      <c r="F26" s="7" t="n">
        <v>5</v>
      </c>
      <c r="G26" s="7" t="s">
        <v>60</v>
      </c>
      <c r="H26" s="7" t="s">
        <v>26</v>
      </c>
      <c r="I26" s="7" t="n">
        <v>0</v>
      </c>
      <c r="J26" s="7" t="s">
        <v>27</v>
      </c>
    </row>
    <row r="27" customFormat="false" ht="15" hidden="false" customHeight="false" outlineLevel="0" collapsed="false">
      <c r="A27" s="9" t="n">
        <v>26</v>
      </c>
      <c r="B27" s="9" t="s">
        <v>21</v>
      </c>
      <c r="C27" s="9" t="s">
        <v>56</v>
      </c>
      <c r="D27" s="10" t="s">
        <v>61</v>
      </c>
      <c r="E27" s="9" t="s">
        <v>58</v>
      </c>
      <c r="F27" s="9" t="n">
        <v>6</v>
      </c>
      <c r="G27" s="9" t="s">
        <v>38</v>
      </c>
      <c r="H27" s="9" t="s">
        <v>26</v>
      </c>
      <c r="I27" s="9" t="n">
        <v>0</v>
      </c>
      <c r="J27" s="9" t="s">
        <v>27</v>
      </c>
    </row>
    <row r="28" customFormat="false" ht="15" hidden="false" customHeight="false" outlineLevel="0" collapsed="false">
      <c r="A28" s="7" t="n">
        <v>27</v>
      </c>
      <c r="B28" s="7" t="s">
        <v>21</v>
      </c>
      <c r="C28" s="7" t="s">
        <v>56</v>
      </c>
      <c r="D28" s="8" t="s">
        <v>62</v>
      </c>
      <c r="E28" s="7" t="s">
        <v>58</v>
      </c>
      <c r="F28" s="7" t="n">
        <v>6</v>
      </c>
      <c r="G28" s="7" t="s">
        <v>38</v>
      </c>
      <c r="H28" s="7" t="s">
        <v>26</v>
      </c>
      <c r="I28" s="7" t="n">
        <v>0</v>
      </c>
      <c r="J28" s="7" t="s">
        <v>27</v>
      </c>
    </row>
    <row r="29" customFormat="false" ht="15" hidden="false" customHeight="false" outlineLevel="0" collapsed="false">
      <c r="A29" s="9" t="n">
        <v>28</v>
      </c>
      <c r="B29" s="9" t="s">
        <v>21</v>
      </c>
      <c r="C29" s="9" t="s">
        <v>63</v>
      </c>
      <c r="D29" s="10" t="s">
        <v>64</v>
      </c>
      <c r="E29" s="9" t="s">
        <v>24</v>
      </c>
      <c r="F29" s="9" t="n">
        <v>1</v>
      </c>
      <c r="G29" s="9" t="s">
        <v>38</v>
      </c>
      <c r="H29" s="9" t="s">
        <v>26</v>
      </c>
      <c r="I29" s="9" t="n">
        <v>0</v>
      </c>
      <c r="J29" s="9" t="s">
        <v>65</v>
      </c>
    </row>
    <row r="30" customFormat="false" ht="15" hidden="false" customHeight="false" outlineLevel="0" collapsed="false">
      <c r="A30" s="7" t="n">
        <v>29</v>
      </c>
      <c r="B30" s="7" t="s">
        <v>21</v>
      </c>
      <c r="C30" s="7" t="s">
        <v>63</v>
      </c>
      <c r="D30" s="8" t="s">
        <v>66</v>
      </c>
      <c r="E30" s="7" t="s">
        <v>24</v>
      </c>
      <c r="F30" s="7" t="n">
        <v>14</v>
      </c>
      <c r="G30" s="7" t="s">
        <v>67</v>
      </c>
      <c r="H30" s="7" t="s">
        <v>26</v>
      </c>
      <c r="I30" s="7" t="n">
        <v>0</v>
      </c>
      <c r="J30" s="7" t="s">
        <v>68</v>
      </c>
    </row>
    <row r="31" customFormat="false" ht="15" hidden="false" customHeight="false" outlineLevel="0" collapsed="false">
      <c r="A31" s="9" t="n">
        <v>30</v>
      </c>
      <c r="B31" s="9" t="s">
        <v>21</v>
      </c>
      <c r="C31" s="9" t="s">
        <v>63</v>
      </c>
      <c r="D31" s="10" t="s">
        <v>64</v>
      </c>
      <c r="E31" s="9" t="s">
        <v>24</v>
      </c>
      <c r="F31" s="9" t="n">
        <v>1</v>
      </c>
      <c r="G31" s="9" t="s">
        <v>38</v>
      </c>
      <c r="H31" s="9" t="s">
        <v>26</v>
      </c>
      <c r="I31" s="9" t="n">
        <v>0</v>
      </c>
      <c r="J31" s="9" t="s">
        <v>65</v>
      </c>
    </row>
    <row r="32" customFormat="false" ht="15" hidden="false" customHeight="false" outlineLevel="0" collapsed="false">
      <c r="A32" s="7" t="n">
        <v>31</v>
      </c>
      <c r="B32" s="7" t="s">
        <v>21</v>
      </c>
      <c r="C32" s="7" t="s">
        <v>63</v>
      </c>
      <c r="D32" s="8" t="s">
        <v>64</v>
      </c>
      <c r="E32" s="7" t="s">
        <v>24</v>
      </c>
      <c r="F32" s="7" t="n">
        <v>1</v>
      </c>
      <c r="G32" s="7" t="s">
        <v>69</v>
      </c>
      <c r="H32" s="7" t="s">
        <v>26</v>
      </c>
      <c r="I32" s="7" t="n">
        <v>0</v>
      </c>
      <c r="J32" s="7" t="s">
        <v>65</v>
      </c>
    </row>
    <row r="33" customFormat="false" ht="15" hidden="false" customHeight="false" outlineLevel="0" collapsed="false">
      <c r="A33" s="9" t="n">
        <v>32</v>
      </c>
      <c r="B33" s="9" t="s">
        <v>21</v>
      </c>
      <c r="C33" s="9" t="s">
        <v>63</v>
      </c>
      <c r="D33" s="10" t="s">
        <v>70</v>
      </c>
      <c r="E33" s="9" t="s">
        <v>24</v>
      </c>
      <c r="F33" s="9" t="n">
        <v>14</v>
      </c>
      <c r="G33" s="9" t="s">
        <v>71</v>
      </c>
      <c r="H33" s="9" t="s">
        <v>26</v>
      </c>
      <c r="I33" s="9" t="n">
        <v>0</v>
      </c>
      <c r="J33" s="9" t="s">
        <v>68</v>
      </c>
    </row>
    <row r="34" customFormat="false" ht="15" hidden="false" customHeight="false" outlineLevel="0" collapsed="false">
      <c r="A34" s="7" t="n">
        <v>33</v>
      </c>
      <c r="B34" s="7" t="s">
        <v>21</v>
      </c>
      <c r="C34" s="7" t="s">
        <v>72</v>
      </c>
      <c r="D34" s="8" t="s">
        <v>73</v>
      </c>
      <c r="E34" s="7" t="s">
        <v>24</v>
      </c>
      <c r="F34" s="7" t="n">
        <v>9</v>
      </c>
      <c r="G34" s="7" t="s">
        <v>74</v>
      </c>
      <c r="H34" s="7" t="s">
        <v>26</v>
      </c>
      <c r="I34" s="7" t="n">
        <v>0</v>
      </c>
      <c r="J34" s="7" t="s">
        <v>75</v>
      </c>
    </row>
    <row r="35" customFormat="false" ht="15" hidden="false" customHeight="false" outlineLevel="0" collapsed="false">
      <c r="A35" s="9" t="n">
        <v>34</v>
      </c>
      <c r="B35" s="9" t="s">
        <v>21</v>
      </c>
      <c r="C35" s="9" t="s">
        <v>72</v>
      </c>
      <c r="D35" s="10" t="s">
        <v>76</v>
      </c>
      <c r="E35" s="9" t="s">
        <v>24</v>
      </c>
      <c r="F35" s="9" t="n">
        <v>10</v>
      </c>
      <c r="G35" s="9" t="s">
        <v>77</v>
      </c>
      <c r="H35" s="9" t="s">
        <v>26</v>
      </c>
      <c r="I35" s="9" t="n">
        <v>0</v>
      </c>
      <c r="J35" s="9" t="s">
        <v>78</v>
      </c>
    </row>
    <row r="36" customFormat="false" ht="15" hidden="false" customHeight="false" outlineLevel="0" collapsed="false">
      <c r="A36" s="7" t="n">
        <v>35</v>
      </c>
      <c r="B36" s="7" t="s">
        <v>21</v>
      </c>
      <c r="C36" s="7" t="s">
        <v>72</v>
      </c>
      <c r="D36" s="8" t="s">
        <v>79</v>
      </c>
      <c r="E36" s="7" t="s">
        <v>24</v>
      </c>
      <c r="F36" s="7" t="n">
        <v>15</v>
      </c>
      <c r="G36" s="7" t="s">
        <v>74</v>
      </c>
      <c r="H36" s="7" t="s">
        <v>26</v>
      </c>
      <c r="I36" s="7" t="n">
        <v>0</v>
      </c>
      <c r="J36" s="7" t="s">
        <v>80</v>
      </c>
    </row>
    <row r="37" customFormat="false" ht="15" hidden="false" customHeight="false" outlineLevel="0" collapsed="false">
      <c r="A37" s="9" t="n">
        <v>36</v>
      </c>
      <c r="B37" s="9" t="s">
        <v>21</v>
      </c>
      <c r="C37" s="9" t="s">
        <v>72</v>
      </c>
      <c r="D37" s="10" t="s">
        <v>81</v>
      </c>
      <c r="E37" s="9" t="s">
        <v>24</v>
      </c>
      <c r="F37" s="9" t="n">
        <v>4</v>
      </c>
      <c r="G37" s="9" t="s">
        <v>82</v>
      </c>
      <c r="H37" s="9" t="s">
        <v>26</v>
      </c>
      <c r="I37" s="9" t="n">
        <v>0</v>
      </c>
      <c r="J37" s="9" t="s">
        <v>75</v>
      </c>
    </row>
    <row r="38" customFormat="false" ht="15" hidden="false" customHeight="false" outlineLevel="0" collapsed="false">
      <c r="A38" s="7" t="n">
        <v>37</v>
      </c>
      <c r="B38" s="7" t="s">
        <v>21</v>
      </c>
      <c r="C38" s="7" t="s">
        <v>72</v>
      </c>
      <c r="D38" s="8" t="s">
        <v>83</v>
      </c>
      <c r="E38" s="7" t="s">
        <v>24</v>
      </c>
      <c r="F38" s="7" t="n">
        <v>10</v>
      </c>
      <c r="G38" s="7" t="s">
        <v>84</v>
      </c>
      <c r="H38" s="7" t="s">
        <v>26</v>
      </c>
      <c r="I38" s="7" t="n">
        <v>0</v>
      </c>
      <c r="J38" s="7" t="s">
        <v>85</v>
      </c>
    </row>
    <row r="39" customFormat="false" ht="15" hidden="false" customHeight="false" outlineLevel="0" collapsed="false">
      <c r="A39" s="9" t="n">
        <v>38</v>
      </c>
      <c r="B39" s="9" t="s">
        <v>21</v>
      </c>
      <c r="C39" s="9" t="s">
        <v>72</v>
      </c>
      <c r="D39" s="10" t="s">
        <v>86</v>
      </c>
      <c r="E39" s="9" t="s">
        <v>24</v>
      </c>
      <c r="F39" s="9" t="n">
        <v>40</v>
      </c>
      <c r="G39" s="9" t="s">
        <v>67</v>
      </c>
      <c r="H39" s="9" t="s">
        <v>26</v>
      </c>
      <c r="I39" s="9" t="n">
        <v>0</v>
      </c>
      <c r="J39" s="9" t="s">
        <v>87</v>
      </c>
    </row>
    <row r="40" customFormat="false" ht="15" hidden="false" customHeight="false" outlineLevel="0" collapsed="false">
      <c r="A40" s="7" t="n">
        <v>39</v>
      </c>
      <c r="B40" s="7" t="s">
        <v>21</v>
      </c>
      <c r="C40" s="7" t="s">
        <v>72</v>
      </c>
      <c r="D40" s="8" t="s">
        <v>81</v>
      </c>
      <c r="E40" s="7" t="s">
        <v>24</v>
      </c>
      <c r="F40" s="7" t="n">
        <v>5</v>
      </c>
      <c r="G40" s="7" t="s">
        <v>82</v>
      </c>
      <c r="H40" s="7" t="s">
        <v>26</v>
      </c>
      <c r="I40" s="7" t="n">
        <v>0</v>
      </c>
      <c r="J40" s="7" t="s">
        <v>88</v>
      </c>
    </row>
    <row r="41" customFormat="false" ht="15" hidden="false" customHeight="false" outlineLevel="0" collapsed="false">
      <c r="A41" s="9" t="n">
        <v>40</v>
      </c>
      <c r="B41" s="9" t="s">
        <v>21</v>
      </c>
      <c r="C41" s="9" t="s">
        <v>72</v>
      </c>
      <c r="D41" s="10" t="s">
        <v>89</v>
      </c>
      <c r="E41" s="9" t="s">
        <v>24</v>
      </c>
      <c r="F41" s="9" t="n">
        <v>15</v>
      </c>
      <c r="G41" s="9" t="s">
        <v>74</v>
      </c>
      <c r="H41" s="9" t="s">
        <v>26</v>
      </c>
      <c r="I41" s="9" t="n">
        <v>0</v>
      </c>
      <c r="J41" s="9" t="s">
        <v>75</v>
      </c>
    </row>
    <row r="42" customFormat="false" ht="15" hidden="false" customHeight="false" outlineLevel="0" collapsed="false">
      <c r="A42" s="7" t="n">
        <v>41</v>
      </c>
      <c r="B42" s="7" t="s">
        <v>21</v>
      </c>
      <c r="C42" s="7" t="s">
        <v>72</v>
      </c>
      <c r="D42" s="8" t="s">
        <v>90</v>
      </c>
      <c r="E42" s="7" t="s">
        <v>24</v>
      </c>
      <c r="F42" s="7" t="n">
        <v>10</v>
      </c>
      <c r="G42" s="7" t="s">
        <v>74</v>
      </c>
      <c r="H42" s="7" t="s">
        <v>26</v>
      </c>
      <c r="I42" s="7" t="n">
        <v>0</v>
      </c>
      <c r="J42" s="7" t="s">
        <v>87</v>
      </c>
    </row>
    <row r="43" customFormat="false" ht="15" hidden="false" customHeight="false" outlineLevel="0" collapsed="false">
      <c r="A43" s="9" t="n">
        <v>42</v>
      </c>
      <c r="B43" s="9" t="s">
        <v>21</v>
      </c>
      <c r="C43" s="9" t="s">
        <v>72</v>
      </c>
      <c r="D43" s="10" t="s">
        <v>56</v>
      </c>
      <c r="E43" s="9" t="s">
        <v>24</v>
      </c>
      <c r="F43" s="9" t="n">
        <v>12</v>
      </c>
      <c r="G43" s="9" t="s">
        <v>74</v>
      </c>
      <c r="H43" s="9" t="s">
        <v>26</v>
      </c>
      <c r="I43" s="9" t="n">
        <v>0</v>
      </c>
      <c r="J43" s="9" t="s">
        <v>91</v>
      </c>
    </row>
    <row r="44" customFormat="false" ht="15" hidden="false" customHeight="false" outlineLevel="0" collapsed="false">
      <c r="A44" s="7" t="n">
        <v>43</v>
      </c>
      <c r="B44" s="7" t="s">
        <v>21</v>
      </c>
      <c r="C44" s="7" t="s">
        <v>92</v>
      </c>
      <c r="D44" s="8" t="s">
        <v>93</v>
      </c>
      <c r="E44" s="7" t="s">
        <v>24</v>
      </c>
      <c r="F44" s="7" t="n">
        <v>1</v>
      </c>
      <c r="G44" s="7" t="s">
        <v>94</v>
      </c>
      <c r="H44" s="7" t="s">
        <v>26</v>
      </c>
      <c r="I44" s="7" t="n">
        <v>0</v>
      </c>
      <c r="J44" s="7" t="s">
        <v>95</v>
      </c>
    </row>
    <row r="45" customFormat="false" ht="15" hidden="false" customHeight="false" outlineLevel="0" collapsed="false">
      <c r="A45" s="9" t="n">
        <v>44</v>
      </c>
      <c r="B45" s="9" t="s">
        <v>21</v>
      </c>
      <c r="C45" s="9" t="s">
        <v>92</v>
      </c>
      <c r="D45" s="10" t="s">
        <v>93</v>
      </c>
      <c r="E45" s="9" t="s">
        <v>24</v>
      </c>
      <c r="F45" s="9" t="n">
        <v>1</v>
      </c>
      <c r="G45" s="9" t="s">
        <v>96</v>
      </c>
      <c r="H45" s="9" t="s">
        <v>26</v>
      </c>
      <c r="I45" s="9" t="n">
        <v>0</v>
      </c>
      <c r="J45" s="9" t="s">
        <v>95</v>
      </c>
    </row>
    <row r="46" customFormat="false" ht="15" hidden="false" customHeight="false" outlineLevel="0" collapsed="false">
      <c r="A46" s="7" t="n">
        <v>45</v>
      </c>
      <c r="B46" s="7" t="s">
        <v>21</v>
      </c>
      <c r="C46" s="7" t="s">
        <v>97</v>
      </c>
      <c r="D46" s="8" t="s">
        <v>98</v>
      </c>
      <c r="E46" s="7" t="s">
        <v>24</v>
      </c>
      <c r="F46" s="7" t="n">
        <v>12</v>
      </c>
      <c r="G46" s="7" t="s">
        <v>67</v>
      </c>
      <c r="H46" s="7" t="s">
        <v>99</v>
      </c>
      <c r="I46" s="7" t="n">
        <v>300</v>
      </c>
      <c r="J46" s="7" t="s">
        <v>100</v>
      </c>
    </row>
    <row r="47" customFormat="false" ht="15" hidden="false" customHeight="false" outlineLevel="0" collapsed="false">
      <c r="A47" s="9" t="n">
        <v>46</v>
      </c>
      <c r="B47" s="9" t="s">
        <v>21</v>
      </c>
      <c r="C47" s="9" t="s">
        <v>97</v>
      </c>
      <c r="D47" s="10" t="s">
        <v>101</v>
      </c>
      <c r="E47" s="9" t="s">
        <v>24</v>
      </c>
      <c r="F47" s="9" t="n">
        <v>1</v>
      </c>
      <c r="G47" s="9" t="s">
        <v>102</v>
      </c>
      <c r="H47" s="9" t="s">
        <v>103</v>
      </c>
      <c r="I47" s="9" t="n">
        <v>1000</v>
      </c>
      <c r="J47" s="9" t="s">
        <v>104</v>
      </c>
    </row>
    <row r="48" customFormat="false" ht="23.85" hidden="false" customHeight="false" outlineLevel="0" collapsed="false">
      <c r="A48" s="7" t="n">
        <v>47</v>
      </c>
      <c r="B48" s="7" t="s">
        <v>21</v>
      </c>
      <c r="C48" s="7" t="s">
        <v>105</v>
      </c>
      <c r="D48" s="8" t="s">
        <v>106</v>
      </c>
      <c r="E48" s="7" t="s">
        <v>24</v>
      </c>
      <c r="F48" s="7" t="n">
        <v>1</v>
      </c>
      <c r="G48" s="7" t="s">
        <v>107</v>
      </c>
      <c r="H48" s="7" t="s">
        <v>108</v>
      </c>
      <c r="I48" s="7" t="n">
        <v>400</v>
      </c>
      <c r="J48" s="7" t="s">
        <v>109</v>
      </c>
    </row>
    <row r="49" customFormat="false" ht="23.85" hidden="false" customHeight="false" outlineLevel="0" collapsed="false">
      <c r="A49" s="9" t="n">
        <v>48</v>
      </c>
      <c r="B49" s="9" t="s">
        <v>21</v>
      </c>
      <c r="C49" s="9" t="s">
        <v>105</v>
      </c>
      <c r="D49" s="10" t="s">
        <v>110</v>
      </c>
      <c r="E49" s="9" t="s">
        <v>24</v>
      </c>
      <c r="F49" s="9" t="n">
        <v>1</v>
      </c>
      <c r="G49" s="9" t="s">
        <v>111</v>
      </c>
      <c r="H49" s="9" t="s">
        <v>112</v>
      </c>
      <c r="I49" s="9" t="n">
        <v>600</v>
      </c>
      <c r="J49" s="9" t="s">
        <v>113</v>
      </c>
    </row>
    <row r="50" customFormat="false" ht="23.85" hidden="false" customHeight="false" outlineLevel="0" collapsed="false">
      <c r="A50" s="7" t="n">
        <v>49</v>
      </c>
      <c r="B50" s="7" t="s">
        <v>21</v>
      </c>
      <c r="C50" s="7" t="s">
        <v>105</v>
      </c>
      <c r="D50" s="8" t="s">
        <v>110</v>
      </c>
      <c r="E50" s="7" t="s">
        <v>24</v>
      </c>
      <c r="F50" s="7" t="n">
        <v>1</v>
      </c>
      <c r="G50" s="7" t="s">
        <v>114</v>
      </c>
      <c r="H50" s="7" t="s">
        <v>26</v>
      </c>
      <c r="I50" s="7" t="n">
        <v>0</v>
      </c>
      <c r="J50" s="7" t="s">
        <v>113</v>
      </c>
    </row>
    <row r="51" customFormat="false" ht="23.85" hidden="false" customHeight="false" outlineLevel="0" collapsed="false">
      <c r="A51" s="9" t="n">
        <v>50</v>
      </c>
      <c r="B51" s="9" t="s">
        <v>21</v>
      </c>
      <c r="C51" s="9" t="s">
        <v>105</v>
      </c>
      <c r="D51" s="10" t="s">
        <v>115</v>
      </c>
      <c r="E51" s="9" t="s">
        <v>24</v>
      </c>
      <c r="F51" s="9" t="n">
        <v>1</v>
      </c>
      <c r="G51" s="9" t="s">
        <v>116</v>
      </c>
      <c r="H51" s="9" t="s">
        <v>26</v>
      </c>
      <c r="I51" s="9" t="n">
        <v>0</v>
      </c>
      <c r="J51" s="9" t="s">
        <v>117</v>
      </c>
    </row>
    <row r="52" customFormat="false" ht="15" hidden="false" customHeight="false" outlineLevel="0" collapsed="false">
      <c r="A52" s="7" t="n">
        <v>51</v>
      </c>
      <c r="B52" s="7" t="s">
        <v>21</v>
      </c>
      <c r="C52" s="7" t="s">
        <v>105</v>
      </c>
      <c r="D52" s="8" t="s">
        <v>118</v>
      </c>
      <c r="E52" s="7" t="s">
        <v>24</v>
      </c>
      <c r="F52" s="7" t="n">
        <v>2</v>
      </c>
      <c r="G52" s="7" t="s">
        <v>119</v>
      </c>
      <c r="H52" s="7" t="s">
        <v>26</v>
      </c>
      <c r="I52" s="7" t="n">
        <v>0</v>
      </c>
      <c r="J52" s="7" t="s">
        <v>120</v>
      </c>
    </row>
    <row r="53" customFormat="false" ht="15" hidden="false" customHeight="false" outlineLevel="0" collapsed="false">
      <c r="A53" s="9" t="n">
        <v>52</v>
      </c>
      <c r="B53" s="9" t="s">
        <v>21</v>
      </c>
      <c r="C53" s="9" t="s">
        <v>105</v>
      </c>
      <c r="D53" s="10" t="s">
        <v>121</v>
      </c>
      <c r="E53" s="9" t="s">
        <v>24</v>
      </c>
      <c r="F53" s="9" t="n">
        <v>1</v>
      </c>
      <c r="G53" s="9" t="s">
        <v>122</v>
      </c>
      <c r="H53" s="9" t="s">
        <v>26</v>
      </c>
      <c r="I53" s="9" t="n">
        <v>0</v>
      </c>
      <c r="J53" s="9" t="s">
        <v>123</v>
      </c>
    </row>
    <row r="54" customFormat="false" ht="46.25" hidden="false" customHeight="false" outlineLevel="0" collapsed="false">
      <c r="A54" s="7" t="n">
        <v>53</v>
      </c>
      <c r="B54" s="7" t="s">
        <v>124</v>
      </c>
      <c r="C54" s="7" t="s">
        <v>22</v>
      </c>
      <c r="D54" s="8" t="s">
        <v>125</v>
      </c>
      <c r="E54" s="7" t="s">
        <v>24</v>
      </c>
      <c r="F54" s="7" t="n">
        <v>4</v>
      </c>
      <c r="G54" s="7" t="s">
        <v>126</v>
      </c>
      <c r="H54" s="7" t="s">
        <v>127</v>
      </c>
      <c r="I54" s="7" t="n">
        <v>6400</v>
      </c>
      <c r="J54" s="7" t="s">
        <v>128</v>
      </c>
    </row>
    <row r="55" customFormat="false" ht="23.85" hidden="false" customHeight="false" outlineLevel="0" collapsed="false">
      <c r="A55" s="9" t="n">
        <v>54</v>
      </c>
      <c r="B55" s="9" t="s">
        <v>124</v>
      </c>
      <c r="C55" s="9" t="s">
        <v>129</v>
      </c>
      <c r="D55" s="10" t="s">
        <v>130</v>
      </c>
      <c r="E55" s="9" t="s">
        <v>24</v>
      </c>
      <c r="F55" s="9" t="n">
        <v>20</v>
      </c>
      <c r="G55" s="9" t="s">
        <v>131</v>
      </c>
      <c r="H55" s="9" t="s">
        <v>132</v>
      </c>
      <c r="I55" s="9" t="n">
        <v>1031</v>
      </c>
      <c r="J55" s="9" t="s">
        <v>133</v>
      </c>
    </row>
    <row r="56" customFormat="false" ht="23.85" hidden="false" customHeight="false" outlineLevel="0" collapsed="false">
      <c r="A56" s="7" t="n">
        <v>55</v>
      </c>
      <c r="B56" s="7" t="s">
        <v>124</v>
      </c>
      <c r="C56" s="7" t="s">
        <v>56</v>
      </c>
      <c r="D56" s="8" t="s">
        <v>134</v>
      </c>
      <c r="E56" s="7" t="s">
        <v>58</v>
      </c>
      <c r="F56" s="7" t="n">
        <v>4</v>
      </c>
      <c r="G56" s="7" t="s">
        <v>38</v>
      </c>
      <c r="H56" s="7" t="s">
        <v>26</v>
      </c>
      <c r="I56" s="7" t="n">
        <v>0</v>
      </c>
      <c r="J56" s="7" t="s">
        <v>27</v>
      </c>
    </row>
    <row r="57" customFormat="false" ht="15" hidden="false" customHeight="false" outlineLevel="0" collapsed="false">
      <c r="A57" s="9" t="n">
        <v>56</v>
      </c>
      <c r="B57" s="9" t="s">
        <v>124</v>
      </c>
      <c r="C57" s="9" t="s">
        <v>56</v>
      </c>
      <c r="D57" s="10" t="s">
        <v>135</v>
      </c>
      <c r="E57" s="9" t="s">
        <v>24</v>
      </c>
      <c r="F57" s="9" t="n">
        <v>4</v>
      </c>
      <c r="G57" s="9" t="s">
        <v>60</v>
      </c>
      <c r="H57" s="9" t="s">
        <v>26</v>
      </c>
      <c r="I57" s="9" t="n">
        <v>0</v>
      </c>
      <c r="J57" s="9" t="s">
        <v>27</v>
      </c>
    </row>
    <row r="58" customFormat="false" ht="15" hidden="false" customHeight="false" outlineLevel="0" collapsed="false">
      <c r="A58" s="7" t="n">
        <v>57</v>
      </c>
      <c r="B58" s="7" t="s">
        <v>124</v>
      </c>
      <c r="C58" s="7" t="s">
        <v>56</v>
      </c>
      <c r="D58" s="8" t="s">
        <v>61</v>
      </c>
      <c r="E58" s="7" t="s">
        <v>58</v>
      </c>
      <c r="F58" s="7" t="n">
        <v>4</v>
      </c>
      <c r="G58" s="7" t="s">
        <v>38</v>
      </c>
      <c r="H58" s="7" t="s">
        <v>26</v>
      </c>
      <c r="I58" s="7" t="n">
        <v>0</v>
      </c>
      <c r="J58" s="7" t="s">
        <v>27</v>
      </c>
    </row>
    <row r="59" customFormat="false" ht="15" hidden="false" customHeight="false" outlineLevel="0" collapsed="false">
      <c r="A59" s="9" t="n">
        <v>58</v>
      </c>
      <c r="B59" s="9" t="s">
        <v>124</v>
      </c>
      <c r="C59" s="9" t="s">
        <v>56</v>
      </c>
      <c r="D59" s="10" t="s">
        <v>136</v>
      </c>
      <c r="E59" s="9" t="s">
        <v>58</v>
      </c>
      <c r="F59" s="9" t="n">
        <v>4</v>
      </c>
      <c r="G59" s="9" t="s">
        <v>38</v>
      </c>
      <c r="H59" s="9" t="s">
        <v>26</v>
      </c>
      <c r="I59" s="9" t="n">
        <v>0</v>
      </c>
      <c r="J59" s="9" t="s">
        <v>27</v>
      </c>
    </row>
    <row r="60" customFormat="false" ht="15" hidden="false" customHeight="false" outlineLevel="0" collapsed="false">
      <c r="A60" s="7" t="n">
        <v>59</v>
      </c>
      <c r="B60" s="7" t="s">
        <v>124</v>
      </c>
      <c r="C60" s="7" t="s">
        <v>137</v>
      </c>
      <c r="D60" s="8" t="s">
        <v>138</v>
      </c>
      <c r="E60" s="7" t="s">
        <v>24</v>
      </c>
      <c r="F60" s="7" t="n">
        <v>10</v>
      </c>
      <c r="G60" s="7" t="s">
        <v>139</v>
      </c>
      <c r="H60" s="7" t="s">
        <v>26</v>
      </c>
      <c r="I60" s="7" t="n">
        <v>0</v>
      </c>
      <c r="J60" s="7" t="s">
        <v>140</v>
      </c>
    </row>
    <row r="61" customFormat="false" ht="15" hidden="false" customHeight="false" outlineLevel="0" collapsed="false">
      <c r="A61" s="9" t="n">
        <v>60</v>
      </c>
      <c r="B61" s="9" t="s">
        <v>124</v>
      </c>
      <c r="C61" s="9" t="s">
        <v>137</v>
      </c>
      <c r="D61" s="10" t="s">
        <v>141</v>
      </c>
      <c r="E61" s="9" t="s">
        <v>24</v>
      </c>
      <c r="F61" s="9" t="n">
        <v>11</v>
      </c>
      <c r="G61" s="9" t="s">
        <v>139</v>
      </c>
      <c r="H61" s="9" t="s">
        <v>26</v>
      </c>
      <c r="I61" s="9" t="n">
        <v>0</v>
      </c>
      <c r="J61" s="9" t="s">
        <v>140</v>
      </c>
    </row>
    <row r="62" customFormat="false" ht="15" hidden="false" customHeight="false" outlineLevel="0" collapsed="false">
      <c r="A62" s="7" t="n">
        <v>61</v>
      </c>
      <c r="B62" s="7" t="s">
        <v>124</v>
      </c>
      <c r="C62" s="7" t="s">
        <v>137</v>
      </c>
      <c r="D62" s="8" t="s">
        <v>142</v>
      </c>
      <c r="E62" s="7" t="s">
        <v>24</v>
      </c>
      <c r="F62" s="7" t="n">
        <v>12</v>
      </c>
      <c r="G62" s="7" t="s">
        <v>139</v>
      </c>
      <c r="H62" s="7" t="s">
        <v>26</v>
      </c>
      <c r="I62" s="7" t="n">
        <v>0</v>
      </c>
      <c r="J62" s="7" t="s">
        <v>140</v>
      </c>
    </row>
    <row r="63" customFormat="false" ht="15" hidden="false" customHeight="false" outlineLevel="0" collapsed="false">
      <c r="A63" s="9" t="n">
        <v>62</v>
      </c>
      <c r="B63" s="9" t="s">
        <v>124</v>
      </c>
      <c r="C63" s="9" t="s">
        <v>137</v>
      </c>
      <c r="D63" s="10" t="s">
        <v>143</v>
      </c>
      <c r="E63" s="9" t="s">
        <v>24</v>
      </c>
      <c r="F63" s="9" t="n">
        <v>5</v>
      </c>
      <c r="G63" s="9" t="s">
        <v>144</v>
      </c>
      <c r="H63" s="9" t="s">
        <v>26</v>
      </c>
      <c r="I63" s="9" t="n">
        <v>0</v>
      </c>
      <c r="J63" s="9" t="s">
        <v>145</v>
      </c>
    </row>
    <row r="64" customFormat="false" ht="46.25" hidden="false" customHeight="false" outlineLevel="0" collapsed="false">
      <c r="A64" s="7" t="n">
        <v>63</v>
      </c>
      <c r="B64" s="7" t="s">
        <v>124</v>
      </c>
      <c r="C64" s="7" t="s">
        <v>63</v>
      </c>
      <c r="D64" s="8" t="s">
        <v>146</v>
      </c>
      <c r="E64" s="7" t="s">
        <v>24</v>
      </c>
      <c r="F64" s="7" t="n">
        <v>45</v>
      </c>
      <c r="G64" s="7" t="s">
        <v>147</v>
      </c>
      <c r="H64" s="7" t="s">
        <v>26</v>
      </c>
      <c r="I64" s="7" t="n">
        <v>0</v>
      </c>
      <c r="J64" s="7" t="s">
        <v>148</v>
      </c>
    </row>
    <row r="65" customFormat="false" ht="15" hidden="false" customHeight="false" outlineLevel="0" collapsed="false">
      <c r="A65" s="9" t="n">
        <v>64</v>
      </c>
      <c r="B65" s="9" t="s">
        <v>124</v>
      </c>
      <c r="C65" s="9" t="s">
        <v>149</v>
      </c>
      <c r="D65" s="10" t="s">
        <v>150</v>
      </c>
      <c r="E65" s="9" t="s">
        <v>24</v>
      </c>
      <c r="F65" s="9" t="n">
        <v>4</v>
      </c>
      <c r="G65" s="9" t="s">
        <v>151</v>
      </c>
      <c r="H65" s="9" t="s">
        <v>152</v>
      </c>
      <c r="I65" s="9" t="n">
        <v>2400</v>
      </c>
      <c r="J65" s="9" t="s">
        <v>153</v>
      </c>
    </row>
    <row r="66" customFormat="false" ht="23.85" hidden="false" customHeight="false" outlineLevel="0" collapsed="false">
      <c r="A66" s="7" t="n">
        <v>65</v>
      </c>
      <c r="B66" s="7" t="s">
        <v>124</v>
      </c>
      <c r="C66" s="7" t="s">
        <v>149</v>
      </c>
      <c r="D66" s="8" t="s">
        <v>154</v>
      </c>
      <c r="E66" s="7" t="s">
        <v>58</v>
      </c>
      <c r="F66" s="7" t="n">
        <v>1</v>
      </c>
      <c r="G66" s="7" t="s">
        <v>155</v>
      </c>
      <c r="H66" s="7" t="s">
        <v>156</v>
      </c>
      <c r="I66" s="7"/>
      <c r="J66" s="7" t="s">
        <v>88</v>
      </c>
    </row>
    <row r="67" customFormat="false" ht="23.85" hidden="false" customHeight="false" outlineLevel="0" collapsed="false">
      <c r="A67" s="9" t="n">
        <v>66</v>
      </c>
      <c r="B67" s="9" t="s">
        <v>124</v>
      </c>
      <c r="C67" s="9" t="s">
        <v>149</v>
      </c>
      <c r="D67" s="10" t="s">
        <v>157</v>
      </c>
      <c r="E67" s="9" t="s">
        <v>24</v>
      </c>
      <c r="F67" s="9" t="n">
        <v>2</v>
      </c>
      <c r="G67" s="9" t="s">
        <v>155</v>
      </c>
      <c r="H67" s="9" t="s">
        <v>156</v>
      </c>
      <c r="I67" s="9"/>
      <c r="J67" s="9" t="s">
        <v>153</v>
      </c>
    </row>
    <row r="68" customFormat="false" ht="15" hidden="false" customHeight="false" outlineLevel="0" collapsed="false">
      <c r="A68" s="7" t="n">
        <v>67</v>
      </c>
      <c r="B68" s="7" t="s">
        <v>124</v>
      </c>
      <c r="C68" s="7" t="s">
        <v>149</v>
      </c>
      <c r="D68" s="8" t="s">
        <v>158</v>
      </c>
      <c r="E68" s="7" t="s">
        <v>58</v>
      </c>
      <c r="F68" s="7" t="n">
        <v>1</v>
      </c>
      <c r="G68" s="7" t="s">
        <v>155</v>
      </c>
      <c r="H68" s="7" t="s">
        <v>156</v>
      </c>
      <c r="I68" s="7"/>
      <c r="J68" s="7" t="s">
        <v>27</v>
      </c>
    </row>
    <row r="69" customFormat="false" ht="15" hidden="false" customHeight="false" outlineLevel="0" collapsed="false">
      <c r="A69" s="9" t="n">
        <v>68</v>
      </c>
      <c r="B69" s="9" t="s">
        <v>124</v>
      </c>
      <c r="C69" s="9" t="s">
        <v>159</v>
      </c>
      <c r="D69" s="10" t="s">
        <v>160</v>
      </c>
      <c r="E69" s="9" t="s">
        <v>24</v>
      </c>
      <c r="F69" s="9" t="n">
        <v>3</v>
      </c>
      <c r="G69" s="9" t="s">
        <v>161</v>
      </c>
      <c r="H69" s="9" t="s">
        <v>156</v>
      </c>
      <c r="I69" s="9"/>
      <c r="J69" s="9" t="s">
        <v>162</v>
      </c>
    </row>
    <row r="70" customFormat="false" ht="15" hidden="false" customHeight="false" outlineLevel="0" collapsed="false">
      <c r="A70" s="7" t="n">
        <v>69</v>
      </c>
      <c r="B70" s="7" t="s">
        <v>124</v>
      </c>
      <c r="C70" s="7" t="s">
        <v>159</v>
      </c>
      <c r="D70" s="8" t="s">
        <v>163</v>
      </c>
      <c r="E70" s="7" t="s">
        <v>24</v>
      </c>
      <c r="F70" s="7" t="n">
        <v>4</v>
      </c>
      <c r="G70" s="7" t="s">
        <v>164</v>
      </c>
      <c r="H70" s="7" t="s">
        <v>165</v>
      </c>
      <c r="I70" s="7" t="n">
        <v>1600</v>
      </c>
      <c r="J70" s="7" t="s">
        <v>162</v>
      </c>
    </row>
    <row r="71" customFormat="false" ht="15" hidden="false" customHeight="false" outlineLevel="0" collapsed="false">
      <c r="A71" s="9" t="n">
        <v>70</v>
      </c>
      <c r="B71" s="9" t="s">
        <v>124</v>
      </c>
      <c r="C71" s="9" t="s">
        <v>159</v>
      </c>
      <c r="D71" s="10" t="s">
        <v>166</v>
      </c>
      <c r="E71" s="9" t="s">
        <v>24</v>
      </c>
      <c r="F71" s="9" t="n">
        <v>5</v>
      </c>
      <c r="G71" s="9" t="s">
        <v>164</v>
      </c>
      <c r="H71" s="9" t="s">
        <v>167</v>
      </c>
      <c r="I71" s="9" t="n">
        <v>2500</v>
      </c>
      <c r="J71" s="9" t="s">
        <v>162</v>
      </c>
    </row>
    <row r="72" customFormat="false" ht="23.85" hidden="false" customHeight="false" outlineLevel="0" collapsed="false">
      <c r="A72" s="7" t="n">
        <v>71</v>
      </c>
      <c r="B72" s="7" t="s">
        <v>124</v>
      </c>
      <c r="C72" s="7" t="s">
        <v>159</v>
      </c>
      <c r="D72" s="8" t="s">
        <v>168</v>
      </c>
      <c r="E72" s="7" t="s">
        <v>24</v>
      </c>
      <c r="F72" s="7" t="n">
        <v>20</v>
      </c>
      <c r="G72" s="7" t="s">
        <v>169</v>
      </c>
      <c r="H72" s="7" t="s">
        <v>170</v>
      </c>
      <c r="I72" s="7" t="n">
        <v>50000</v>
      </c>
      <c r="J72" s="7" t="s">
        <v>153</v>
      </c>
    </row>
    <row r="73" customFormat="false" ht="15" hidden="false" customHeight="false" outlineLevel="0" collapsed="false">
      <c r="A73" s="9" t="n">
        <v>72</v>
      </c>
      <c r="B73" s="9" t="s">
        <v>124</v>
      </c>
      <c r="C73" s="9" t="s">
        <v>171</v>
      </c>
      <c r="D73" s="10" t="s">
        <v>172</v>
      </c>
      <c r="E73" s="9" t="s">
        <v>24</v>
      </c>
      <c r="F73" s="9" t="n">
        <v>1</v>
      </c>
      <c r="G73" s="9" t="s">
        <v>173</v>
      </c>
      <c r="H73" s="9" t="s">
        <v>26</v>
      </c>
      <c r="I73" s="9" t="n">
        <v>0</v>
      </c>
      <c r="J73" s="9" t="s">
        <v>27</v>
      </c>
    </row>
    <row r="74" customFormat="false" ht="23.85" hidden="false" customHeight="false" outlineLevel="0" collapsed="false">
      <c r="A74" s="7" t="n">
        <v>73</v>
      </c>
      <c r="B74" s="7" t="s">
        <v>124</v>
      </c>
      <c r="C74" s="7" t="s">
        <v>105</v>
      </c>
      <c r="D74" s="8" t="s">
        <v>174</v>
      </c>
      <c r="E74" s="7" t="s">
        <v>24</v>
      </c>
      <c r="F74" s="7" t="n">
        <v>1</v>
      </c>
      <c r="G74" s="7" t="s">
        <v>175</v>
      </c>
      <c r="H74" s="7" t="s">
        <v>156</v>
      </c>
      <c r="I74" s="7"/>
      <c r="J74" s="7" t="s">
        <v>123</v>
      </c>
    </row>
    <row r="75" customFormat="false" ht="23.85" hidden="false" customHeight="false" outlineLevel="0" collapsed="false">
      <c r="A75" s="9" t="n">
        <v>74</v>
      </c>
      <c r="B75" s="9" t="s">
        <v>124</v>
      </c>
      <c r="C75" s="9" t="s">
        <v>105</v>
      </c>
      <c r="D75" s="10" t="s">
        <v>176</v>
      </c>
      <c r="E75" s="9" t="s">
        <v>24</v>
      </c>
      <c r="F75" s="9" t="n">
        <v>1</v>
      </c>
      <c r="G75" s="9" t="s">
        <v>177</v>
      </c>
      <c r="H75" s="9" t="s">
        <v>156</v>
      </c>
      <c r="I75" s="9"/>
      <c r="J75" s="9" t="s">
        <v>117</v>
      </c>
    </row>
    <row r="76" customFormat="false" ht="15" hidden="false" customHeight="false" outlineLevel="0" collapsed="false">
      <c r="A76" s="7" t="n">
        <v>75</v>
      </c>
      <c r="B76" s="7" t="s">
        <v>124</v>
      </c>
      <c r="C76" s="7" t="s">
        <v>105</v>
      </c>
      <c r="D76" s="8" t="s">
        <v>178</v>
      </c>
      <c r="E76" s="7" t="s">
        <v>24</v>
      </c>
      <c r="F76" s="7" t="n">
        <v>2</v>
      </c>
      <c r="G76" s="7" t="s">
        <v>179</v>
      </c>
      <c r="H76" s="7" t="s">
        <v>180</v>
      </c>
      <c r="I76" s="7" t="n">
        <v>1100</v>
      </c>
      <c r="J76" s="7" t="s">
        <v>181</v>
      </c>
    </row>
    <row r="77" customFormat="false" ht="23.85" hidden="false" customHeight="false" outlineLevel="0" collapsed="false">
      <c r="A77" s="9" t="n">
        <v>76</v>
      </c>
      <c r="B77" s="9" t="s">
        <v>124</v>
      </c>
      <c r="C77" s="9" t="s">
        <v>105</v>
      </c>
      <c r="D77" s="10" t="s">
        <v>182</v>
      </c>
      <c r="E77" s="9" t="s">
        <v>24</v>
      </c>
      <c r="F77" s="9" t="n">
        <v>1</v>
      </c>
      <c r="G77" s="9" t="s">
        <v>183</v>
      </c>
      <c r="H77" s="9" t="s">
        <v>156</v>
      </c>
      <c r="I77" s="9"/>
      <c r="J77" s="9" t="s">
        <v>184</v>
      </c>
    </row>
    <row r="78" customFormat="false" ht="23.85" hidden="false" customHeight="false" outlineLevel="0" collapsed="false">
      <c r="A78" s="7" t="n">
        <v>77</v>
      </c>
      <c r="B78" s="7" t="s">
        <v>124</v>
      </c>
      <c r="C78" s="7" t="s">
        <v>105</v>
      </c>
      <c r="D78" s="8" t="s">
        <v>185</v>
      </c>
      <c r="E78" s="7" t="s">
        <v>24</v>
      </c>
      <c r="F78" s="7" t="n">
        <v>1</v>
      </c>
      <c r="G78" s="7" t="s">
        <v>186</v>
      </c>
      <c r="H78" s="7" t="s">
        <v>156</v>
      </c>
      <c r="I78" s="7"/>
      <c r="J78" s="7" t="s">
        <v>117</v>
      </c>
    </row>
    <row r="79" customFormat="false" ht="35.05" hidden="false" customHeight="false" outlineLevel="0" collapsed="false">
      <c r="A79" s="9" t="n">
        <v>78</v>
      </c>
      <c r="B79" s="9" t="s">
        <v>124</v>
      </c>
      <c r="C79" s="9" t="s">
        <v>105</v>
      </c>
      <c r="D79" s="10" t="s">
        <v>187</v>
      </c>
      <c r="E79" s="9" t="s">
        <v>24</v>
      </c>
      <c r="F79" s="9" t="n">
        <v>3</v>
      </c>
      <c r="G79" s="9" t="s">
        <v>188</v>
      </c>
      <c r="H79" s="9" t="s">
        <v>156</v>
      </c>
      <c r="I79" s="9"/>
      <c r="J79" s="9" t="s">
        <v>189</v>
      </c>
    </row>
    <row r="80" customFormat="false" ht="23.85" hidden="false" customHeight="false" outlineLevel="0" collapsed="false">
      <c r="A80" s="7" t="n">
        <v>79</v>
      </c>
      <c r="B80" s="7" t="s">
        <v>124</v>
      </c>
      <c r="C80" s="7" t="s">
        <v>97</v>
      </c>
      <c r="D80" s="8" t="s">
        <v>190</v>
      </c>
      <c r="E80" s="7" t="s">
        <v>24</v>
      </c>
      <c r="F80" s="7" t="n">
        <v>30</v>
      </c>
      <c r="G80" s="7" t="s">
        <v>38</v>
      </c>
      <c r="H80" s="7" t="s">
        <v>26</v>
      </c>
      <c r="I80" s="7" t="n">
        <v>0</v>
      </c>
      <c r="J80" s="7" t="s">
        <v>191</v>
      </c>
    </row>
    <row r="81" customFormat="false" ht="23.85" hidden="false" customHeight="false" outlineLevel="0" collapsed="false">
      <c r="A81" s="9" t="n">
        <v>80</v>
      </c>
      <c r="B81" s="9" t="s">
        <v>124</v>
      </c>
      <c r="C81" s="9" t="s">
        <v>97</v>
      </c>
      <c r="D81" s="10" t="s">
        <v>192</v>
      </c>
      <c r="E81" s="9" t="s">
        <v>24</v>
      </c>
      <c r="F81" s="9" t="n">
        <v>90</v>
      </c>
      <c r="G81" s="9" t="s">
        <v>38</v>
      </c>
      <c r="H81" s="9" t="s">
        <v>26</v>
      </c>
      <c r="I81" s="9" t="n">
        <v>0</v>
      </c>
      <c r="J81" s="9" t="s">
        <v>193</v>
      </c>
    </row>
    <row r="82" customFormat="false" ht="15" hidden="false" customHeight="false" outlineLevel="0" collapsed="false">
      <c r="A82" s="7" t="n">
        <v>81</v>
      </c>
      <c r="B82" s="7" t="s">
        <v>124</v>
      </c>
      <c r="C82" s="7" t="s">
        <v>97</v>
      </c>
      <c r="D82" s="8" t="s">
        <v>194</v>
      </c>
      <c r="E82" s="7" t="s">
        <v>24</v>
      </c>
      <c r="F82" s="7" t="n">
        <v>1</v>
      </c>
      <c r="G82" s="7" t="s">
        <v>67</v>
      </c>
      <c r="H82" s="7" t="s">
        <v>195</v>
      </c>
      <c r="I82" s="7" t="n">
        <v>500</v>
      </c>
      <c r="J82" s="7" t="s">
        <v>196</v>
      </c>
    </row>
  </sheetData>
  <autoFilter ref="A1:J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</cols>
  <sheetData>
    <row r="1" customFormat="false" ht="25.5" hidden="false" customHeight="true" outlineLevel="0" collapsed="false">
      <c r="A1" s="6" t="s">
        <v>11</v>
      </c>
      <c r="B1" s="6" t="s">
        <v>13</v>
      </c>
    </row>
    <row r="2" customFormat="false" ht="15" hidden="false" customHeight="false" outlineLevel="0" collapsed="false">
      <c r="A2" s="7" t="n">
        <v>2</v>
      </c>
      <c r="B2" s="7" t="s">
        <v>137</v>
      </c>
    </row>
    <row r="3" customFormat="false" ht="15" hidden="false" customHeight="false" outlineLevel="0" collapsed="false">
      <c r="A3" s="9" t="n">
        <v>3</v>
      </c>
      <c r="B3" s="9" t="s">
        <v>22</v>
      </c>
    </row>
    <row r="4" customFormat="false" ht="15" hidden="false" customHeight="false" outlineLevel="0" collapsed="false">
      <c r="A4" s="7" t="n">
        <v>4</v>
      </c>
      <c r="B4" s="7" t="s">
        <v>129</v>
      </c>
    </row>
    <row r="5" customFormat="false" ht="15" hidden="false" customHeight="false" outlineLevel="0" collapsed="false">
      <c r="A5" s="9" t="n">
        <v>5</v>
      </c>
      <c r="B5" s="9" t="s">
        <v>56</v>
      </c>
    </row>
    <row r="6" customFormat="false" ht="15" hidden="false" customHeight="false" outlineLevel="0" collapsed="false">
      <c r="A6" s="7" t="n">
        <v>6</v>
      </c>
      <c r="B6" s="7" t="s">
        <v>171</v>
      </c>
    </row>
    <row r="7" customFormat="false" ht="15" hidden="false" customHeight="false" outlineLevel="0" collapsed="false">
      <c r="A7" s="9" t="n">
        <v>7</v>
      </c>
      <c r="B7" s="9" t="s">
        <v>63</v>
      </c>
    </row>
    <row r="8" customFormat="false" ht="15" hidden="false" customHeight="false" outlineLevel="0" collapsed="false">
      <c r="A8" s="7" t="n">
        <v>8</v>
      </c>
      <c r="B8" s="7" t="s">
        <v>72</v>
      </c>
    </row>
    <row r="9" customFormat="false" ht="15" hidden="false" customHeight="false" outlineLevel="0" collapsed="false">
      <c r="A9" s="9" t="n">
        <v>9</v>
      </c>
      <c r="B9" s="9" t="s">
        <v>149</v>
      </c>
    </row>
    <row r="10" customFormat="false" ht="15" hidden="false" customHeight="false" outlineLevel="0" collapsed="false">
      <c r="A10" s="7" t="n">
        <v>10</v>
      </c>
      <c r="B10" s="7" t="s">
        <v>159</v>
      </c>
    </row>
    <row r="11" customFormat="false" ht="15" hidden="false" customHeight="false" outlineLevel="0" collapsed="false">
      <c r="A11" s="9" t="n">
        <v>11</v>
      </c>
      <c r="B11" s="9" t="s">
        <v>92</v>
      </c>
    </row>
    <row r="12" customFormat="false" ht="15" hidden="false" customHeight="false" outlineLevel="0" collapsed="false">
      <c r="A12" s="7" t="n">
        <v>12</v>
      </c>
      <c r="B12" s="7" t="s">
        <v>105</v>
      </c>
    </row>
    <row r="13" customFormat="false" ht="15" hidden="false" customHeight="false" outlineLevel="0" collapsed="false">
      <c r="A13" s="9" t="n">
        <v>13</v>
      </c>
      <c r="B13" s="9" t="s">
        <v>97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1" t="s">
        <v>197</v>
      </c>
      <c r="B1" s="11" t="s">
        <v>198</v>
      </c>
      <c r="C1" s="11" t="s">
        <v>199</v>
      </c>
      <c r="D1" s="11" t="s">
        <v>200</v>
      </c>
    </row>
    <row r="2" customFormat="false" ht="15" hidden="false" customHeight="false" outlineLevel="0" collapsed="false">
      <c r="A2" s="4" t="s">
        <v>201</v>
      </c>
      <c r="B2" s="4" t="n">
        <f aca="false">COUNTIF(Courses!B:B,"Q1")</f>
        <v>52</v>
      </c>
      <c r="C2" s="4" t="n">
        <f aca="false">COUNTIF(Courses!B:B,"Q2")</f>
        <v>29</v>
      </c>
      <c r="D2" s="4" t="n">
        <f aca="false">COUNTA(Courses!A2:A200)</f>
        <v>81</v>
      </c>
    </row>
    <row r="3" customFormat="false" ht="15" hidden="false" customHeight="false" outlineLevel="0" collapsed="false">
      <c r="A3" s="12" t="s">
        <v>202</v>
      </c>
      <c r="B3" s="12" t="n">
        <f aca="false">SUMIF(Courses!B:B,"Q1",Courses!F:F)</f>
        <v>660</v>
      </c>
      <c r="C3" s="12" t="n">
        <f aca="false">SUMIF(Courses!B:B,"Q2",Courses!F:F)</f>
        <v>294</v>
      </c>
      <c r="D3" s="12" t="n">
        <f aca="false">SUM(Courses!F2:F200)</f>
        <v>954</v>
      </c>
    </row>
    <row r="4" customFormat="false" ht="15" hidden="false" customHeight="false" outlineLevel="0" collapsed="false">
      <c r="A4" s="4" t="s">
        <v>18</v>
      </c>
      <c r="B4" s="4" t="n">
        <f aca="false">SUMIF(Courses!B:B,"Q1",Courses!I:I)</f>
        <v>2300</v>
      </c>
      <c r="C4" s="4" t="n">
        <f aca="false">SUMIF(Courses!B:B,"Q2",Courses!I:I)</f>
        <v>65531</v>
      </c>
      <c r="D4" s="4" t="n">
        <f aca="false">SUM(Courses!I2:I200)</f>
        <v>67831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2026-08-30T11:02:23Z</dcterms:created>
  <dc:creator>openpyxl</dc:creator>
  <dc:description/>
  <dc:language>en-US</dc:language>
  <cp:lastModifiedBy/>
  <dcterms:modified xsi:type="dcterms:W3CDTF">2026-08-30T11:02:23Z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